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rthur\Desktop\учеба\mo\лаб1\"/>
    </mc:Choice>
  </mc:AlternateContent>
  <bookViews>
    <workbookView xWindow="0" yWindow="0" windowWidth="31920" windowHeight="12420"/>
  </bookViews>
  <sheets>
    <sheet name="LP_Input" sheetId="1" r:id="rId1"/>
    <sheet name="Comparison" sheetId="2" r:id="rId2"/>
    <sheet name="Instructions" sheetId="3" r:id="rId3"/>
  </sheets>
  <calcPr calcId="162913"/>
</workbook>
</file>

<file path=xl/calcChain.xml><?xml version="1.0" encoding="utf-8"?>
<calcChain xmlns="http://schemas.openxmlformats.org/spreadsheetml/2006/main">
  <c r="C7" i="2" l="1"/>
  <c r="D7" i="2" s="1"/>
  <c r="C6" i="2"/>
  <c r="D6" i="2" s="1"/>
  <c r="C5" i="2"/>
  <c r="D5" i="2" s="1"/>
  <c r="C4" i="2"/>
  <c r="D4" i="2" s="1"/>
  <c r="B26" i="1"/>
  <c r="C9" i="2" s="1"/>
  <c r="D9" i="2" s="1"/>
</calcChain>
</file>

<file path=xl/sharedStrings.xml><?xml version="1.0" encoding="utf-8"?>
<sst xmlns="http://schemas.openxmlformats.org/spreadsheetml/2006/main" count="54" uniqueCount="43">
  <si>
    <t>Objective</t>
  </si>
  <si>
    <t>Max</t>
  </si>
  <si>
    <t>c1</t>
  </si>
  <si>
    <t>c2</t>
  </si>
  <si>
    <t>c3</t>
  </si>
  <si>
    <t>c4</t>
  </si>
  <si>
    <t>Constraint</t>
  </si>
  <si>
    <t>a1</t>
  </si>
  <si>
    <t>a2</t>
  </si>
  <si>
    <t>a3</t>
  </si>
  <si>
    <t>a4</t>
  </si>
  <si>
    <t>Sign</t>
  </si>
  <si>
    <t>RHS</t>
  </si>
  <si>
    <t>&lt;=</t>
  </si>
  <si>
    <t>=</t>
  </si>
  <si>
    <t>&gt;=</t>
  </si>
  <si>
    <t>x1</t>
  </si>
  <si>
    <t>x2</t>
  </si>
  <si>
    <t>x3</t>
  </si>
  <si>
    <t>x4</t>
  </si>
  <si>
    <t>Z (= c*x)</t>
  </si>
  <si>
    <t>Objective (formula)</t>
  </si>
  <si>
    <t>Compare our solver solution and Excel Solver solution</t>
  </si>
  <si>
    <t>Var</t>
  </si>
  <si>
    <t>Our solver</t>
  </si>
  <si>
    <t>Excel Solver</t>
  </si>
  <si>
    <t>Difference</t>
  </si>
  <si>
    <t>Z</t>
  </si>
  <si>
    <t>Instructions for comparing solutions in Excel</t>
  </si>
  <si>
    <t>1. The LP model is on the "LP_Input" sheet. You can edit coefficients and RHS there.</t>
  </si>
  <si>
    <t>2. In the `Excel Solver area` (B21..B24) enter the initial guesses for x1..x4.</t>
  </si>
  <si>
    <t>3. The objective is in cell B26 and will update automatically. For Solver:</t>
  </si>
  <si>
    <t xml:space="preserve">   - Set Objective: LP_Input!$B$26 -&gt; Maximize</t>
  </si>
  <si>
    <t xml:space="preserve">   - By Changing Variables: LP_Input!$B$21:$B$24</t>
  </si>
  <si>
    <t xml:space="preserve">   - Add constraints:</t>
  </si>
  <si>
    <t xml:space="preserve">     LP_Input!$B$9:$E$9 &lt;= LP_Input!$G$9</t>
  </si>
  <si>
    <t xml:space="preserve">     LP_Input!$B$10:$E$10 = LP_Input!$G$10</t>
  </si>
  <si>
    <t xml:space="preserve">     LP_Input!$B$11:$E$11 &gt;= LP_Input!$G$11</t>
  </si>
  <si>
    <t xml:space="preserve">     LP_Input!$B$21:$B$24 &gt;= 0</t>
  </si>
  <si>
    <t xml:space="preserve">   - Choose Simplex LP method and press Solve.</t>
  </si>
  <si>
    <t>4. After solving, results from Excel Solver will be visible in LP_Input sheet B21..B24 and comparison in the Comparison sheet.</t>
  </si>
  <si>
    <t xml:space="preserve">Excel Solver area </t>
  </si>
  <si>
    <t xml:space="preserve">Reference solution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</si>
</sst>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tabSelected="1" workbookViewId="0">
      <selection activeCell="A13" sqref="A13"/>
    </sheetView>
  </sheetViews>
  <sheetFormatPr defaultRowHeight="14.4" x14ac:dyDescent="0.3"/>
  <cols>
    <col min="1" max="1" width="31.33203125" customWidth="1"/>
    <col min="2" max="8" width="14" customWidth="1"/>
  </cols>
  <sheetData>
    <row r="1" spans="1:7" ht="18" x14ac:dyDescent="0.35">
      <c r="A1" s="1"/>
    </row>
    <row r="3" spans="1:7" x14ac:dyDescent="0.3">
      <c r="A3" t="s">
        <v>0</v>
      </c>
      <c r="B3" t="s">
        <v>1</v>
      </c>
    </row>
    <row r="5" spans="1:7" x14ac:dyDescent="0.3">
      <c r="B5" t="s">
        <v>2</v>
      </c>
      <c r="C5" t="s">
        <v>3</v>
      </c>
      <c r="D5" t="s">
        <v>4</v>
      </c>
      <c r="E5" t="s">
        <v>5</v>
      </c>
    </row>
    <row r="6" spans="1:7" x14ac:dyDescent="0.3">
      <c r="B6">
        <v>1</v>
      </c>
      <c r="C6">
        <v>5</v>
      </c>
      <c r="D6">
        <v>2</v>
      </c>
      <c r="E6">
        <v>1</v>
      </c>
    </row>
    <row r="8" spans="1:7" x14ac:dyDescent="0.3">
      <c r="A8" t="s">
        <v>6</v>
      </c>
      <c r="B8" t="s">
        <v>7</v>
      </c>
      <c r="C8" t="s">
        <v>8</v>
      </c>
      <c r="D8" t="s">
        <v>9</v>
      </c>
      <c r="E8" t="s">
        <v>10</v>
      </c>
      <c r="F8" t="s">
        <v>11</v>
      </c>
      <c r="G8" t="s">
        <v>12</v>
      </c>
    </row>
    <row r="9" spans="1:7" x14ac:dyDescent="0.3">
      <c r="A9" t="s">
        <v>2</v>
      </c>
      <c r="B9">
        <v>1</v>
      </c>
      <c r="C9">
        <v>1</v>
      </c>
      <c r="D9">
        <v>2</v>
      </c>
      <c r="E9">
        <v>0</v>
      </c>
      <c r="F9" t="s">
        <v>13</v>
      </c>
      <c r="G9">
        <v>6</v>
      </c>
    </row>
    <row r="10" spans="1:7" x14ac:dyDescent="0.3">
      <c r="A10" t="s">
        <v>3</v>
      </c>
      <c r="B10">
        <v>0</v>
      </c>
      <c r="C10">
        <v>1</v>
      </c>
      <c r="D10">
        <v>1</v>
      </c>
      <c r="E10">
        <v>1</v>
      </c>
      <c r="F10" t="s">
        <v>14</v>
      </c>
      <c r="G10">
        <v>4</v>
      </c>
    </row>
    <row r="11" spans="1:7" x14ac:dyDescent="0.3">
      <c r="A11" t="s">
        <v>4</v>
      </c>
      <c r="B11">
        <v>2</v>
      </c>
      <c r="C11">
        <v>0</v>
      </c>
      <c r="D11">
        <v>0</v>
      </c>
      <c r="E11">
        <v>1</v>
      </c>
      <c r="F11" t="s">
        <v>15</v>
      </c>
      <c r="G11">
        <v>3</v>
      </c>
    </row>
    <row r="13" spans="1:7" x14ac:dyDescent="0.3">
      <c r="A13" s="2" t="s">
        <v>42</v>
      </c>
    </row>
    <row r="14" spans="1:7" x14ac:dyDescent="0.3">
      <c r="A14" t="s">
        <v>16</v>
      </c>
      <c r="B14">
        <v>2</v>
      </c>
    </row>
    <row r="15" spans="1:7" x14ac:dyDescent="0.3">
      <c r="A15" t="s">
        <v>17</v>
      </c>
      <c r="B15">
        <v>4</v>
      </c>
    </row>
    <row r="16" spans="1:7" x14ac:dyDescent="0.3">
      <c r="A16" t="s">
        <v>18</v>
      </c>
      <c r="B16">
        <v>0</v>
      </c>
    </row>
    <row r="17" spans="1:2" x14ac:dyDescent="0.3">
      <c r="A17" t="s">
        <v>19</v>
      </c>
      <c r="B17">
        <v>0</v>
      </c>
    </row>
    <row r="18" spans="1:2" x14ac:dyDescent="0.3">
      <c r="A18" t="s">
        <v>20</v>
      </c>
      <c r="B18">
        <v>22</v>
      </c>
    </row>
    <row r="20" spans="1:2" x14ac:dyDescent="0.3">
      <c r="A20" t="s">
        <v>41</v>
      </c>
    </row>
    <row r="21" spans="1:2" x14ac:dyDescent="0.3">
      <c r="A21" t="s">
        <v>16</v>
      </c>
      <c r="B21">
        <v>2</v>
      </c>
    </row>
    <row r="22" spans="1:2" x14ac:dyDescent="0.3">
      <c r="A22" t="s">
        <v>17</v>
      </c>
      <c r="B22">
        <v>4</v>
      </c>
    </row>
    <row r="23" spans="1:2" x14ac:dyDescent="0.3">
      <c r="A23" t="s">
        <v>18</v>
      </c>
      <c r="B23">
        <v>0</v>
      </c>
    </row>
    <row r="24" spans="1:2" x14ac:dyDescent="0.3">
      <c r="A24" t="s">
        <v>19</v>
      </c>
      <c r="B24">
        <v>0</v>
      </c>
    </row>
    <row r="26" spans="1:2" x14ac:dyDescent="0.3">
      <c r="A26" t="s">
        <v>21</v>
      </c>
      <c r="B26">
        <f>B6*B21 + C6*B22 + D6*B23 + E6*B24</f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/>
  </sheetViews>
  <sheetFormatPr defaultRowHeight="14.4" x14ac:dyDescent="0.3"/>
  <cols>
    <col min="1" max="8" width="14" customWidth="1"/>
  </cols>
  <sheetData>
    <row r="1" spans="1:4" ht="18" x14ac:dyDescent="0.35">
      <c r="A1" s="1" t="s">
        <v>22</v>
      </c>
    </row>
    <row r="3" spans="1:4" x14ac:dyDescent="0.3">
      <c r="A3" t="s">
        <v>23</v>
      </c>
      <c r="B3" t="s">
        <v>24</v>
      </c>
      <c r="C3" t="s">
        <v>25</v>
      </c>
      <c r="D3" t="s">
        <v>26</v>
      </c>
    </row>
    <row r="4" spans="1:4" x14ac:dyDescent="0.3">
      <c r="A4" t="s">
        <v>16</v>
      </c>
      <c r="C4">
        <f>LP_Input!B21</f>
        <v>2</v>
      </c>
      <c r="D4">
        <f>B4 - C4</f>
        <v>-2</v>
      </c>
    </row>
    <row r="5" spans="1:4" x14ac:dyDescent="0.3">
      <c r="A5" t="s">
        <v>17</v>
      </c>
      <c r="B5">
        <v>2</v>
      </c>
      <c r="C5">
        <f>LP_Input!B22</f>
        <v>4</v>
      </c>
      <c r="D5">
        <f>B5 - C5</f>
        <v>-2</v>
      </c>
    </row>
    <row r="6" spans="1:4" x14ac:dyDescent="0.3">
      <c r="A6" t="s">
        <v>18</v>
      </c>
      <c r="B6">
        <v>4</v>
      </c>
      <c r="C6">
        <f>LP_Input!B23</f>
        <v>0</v>
      </c>
      <c r="D6">
        <f>B6 - C6</f>
        <v>4</v>
      </c>
    </row>
    <row r="7" spans="1:4" x14ac:dyDescent="0.3">
      <c r="A7" t="s">
        <v>19</v>
      </c>
      <c r="B7">
        <v>0</v>
      </c>
      <c r="C7">
        <f>LP_Input!B24</f>
        <v>0</v>
      </c>
      <c r="D7">
        <f>B7 - C7</f>
        <v>0</v>
      </c>
    </row>
    <row r="9" spans="1:4" x14ac:dyDescent="0.3">
      <c r="A9" t="s">
        <v>27</v>
      </c>
      <c r="B9">
        <v>22</v>
      </c>
      <c r="C9">
        <f>LP_Input!B26</f>
        <v>22</v>
      </c>
      <c r="D9">
        <f>B9 - C9</f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4"/>
  <sheetViews>
    <sheetView workbookViewId="0"/>
  </sheetViews>
  <sheetFormatPr defaultRowHeight="14.4" x14ac:dyDescent="0.3"/>
  <cols>
    <col min="1" max="8" width="14" customWidth="1"/>
  </cols>
  <sheetData>
    <row r="1" spans="1:1" ht="18" x14ac:dyDescent="0.35">
      <c r="A1" s="1" t="s">
        <v>28</v>
      </c>
    </row>
    <row r="3" spans="1:1" x14ac:dyDescent="0.3">
      <c r="A3" t="s">
        <v>29</v>
      </c>
    </row>
    <row r="4" spans="1:1" x14ac:dyDescent="0.3">
      <c r="A4" t="s">
        <v>30</v>
      </c>
    </row>
    <row r="5" spans="1:1" x14ac:dyDescent="0.3">
      <c r="A5" t="s">
        <v>31</v>
      </c>
    </row>
    <row r="6" spans="1:1" x14ac:dyDescent="0.3">
      <c r="A6" t="s">
        <v>32</v>
      </c>
    </row>
    <row r="7" spans="1:1" x14ac:dyDescent="0.3">
      <c r="A7" t="s">
        <v>33</v>
      </c>
    </row>
    <row r="8" spans="1:1" x14ac:dyDescent="0.3">
      <c r="A8" t="s">
        <v>34</v>
      </c>
    </row>
    <row r="9" spans="1:1" x14ac:dyDescent="0.3">
      <c r="A9" t="s">
        <v>35</v>
      </c>
    </row>
    <row r="10" spans="1:1" x14ac:dyDescent="0.3">
      <c r="A10" t="s">
        <v>36</v>
      </c>
    </row>
    <row r="11" spans="1:1" x14ac:dyDescent="0.3">
      <c r="A11" t="s">
        <v>37</v>
      </c>
    </row>
    <row r="12" spans="1:1" x14ac:dyDescent="0.3">
      <c r="A12" t="s">
        <v>38</v>
      </c>
    </row>
    <row r="13" spans="1:1" x14ac:dyDescent="0.3">
      <c r="A13" t="s">
        <v>39</v>
      </c>
    </row>
    <row r="14" spans="1:1" x14ac:dyDescent="0.3">
      <c r="A14" t="s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LP_Input</vt:lpstr>
      <vt:lpstr>Comparison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Arthur</cp:lastModifiedBy>
  <dcterms:created xsi:type="dcterms:W3CDTF">2025-11-24T23:12:03Z</dcterms:created>
  <dcterms:modified xsi:type="dcterms:W3CDTF">2025-11-24T23:16:35Z</dcterms:modified>
</cp:coreProperties>
</file>